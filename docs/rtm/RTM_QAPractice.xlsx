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VDSTORE\Downloads\"/>
    </mc:Choice>
  </mc:AlternateContent>
  <xr:revisionPtr revIDLastSave="0" documentId="13_ncr:1_{CDCCE6B2-4873-424E-8853-59DD3E4FF91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RTM" sheetId="1" r:id="rId1"/>
  </sheets>
  <definedNames>
    <definedName name="_xlnm._FilterDatabase" localSheetId="0" hidden="1">RTM!$A$1:$H$43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9" i="1" l="1"/>
  <c r="B47" i="1"/>
  <c r="B46" i="1"/>
  <c r="B48" i="1" l="1"/>
</calcChain>
</file>

<file path=xl/sharedStrings.xml><?xml version="1.0" encoding="utf-8"?>
<sst xmlns="http://schemas.openxmlformats.org/spreadsheetml/2006/main" count="311" uniqueCount="185">
  <si>
    <t>Requirement_ID</t>
  </si>
  <si>
    <t>Requirement Description</t>
  </si>
  <si>
    <t>Section</t>
  </si>
  <si>
    <t>TC_IDs</t>
  </si>
  <si>
    <t>Automated?</t>
  </si>
  <si>
    <t>Test Method(s)</t>
  </si>
  <si>
    <t>Status</t>
  </si>
  <si>
    <t>Defect_IDs</t>
  </si>
  <si>
    <t>REQ-01.1</t>
  </si>
  <si>
    <t>Text field accepts valid strings</t>
  </si>
  <si>
    <t>1. Text input</t>
  </si>
  <si>
    <t>TC-001, TC-002</t>
  </si>
  <si>
    <t>Yes</t>
  </si>
  <si>
    <t>TextInputTest</t>
  </si>
  <si>
    <t>Pass</t>
  </si>
  <si>
    <t>REQ-01.2</t>
  </si>
  <si>
    <t>Text field rejects empty/invalid</t>
  </si>
  <si>
    <t>TC-003</t>
  </si>
  <si>
    <t>REQ-01.3</t>
  </si>
  <si>
    <t>Text field length boundaries</t>
  </si>
  <si>
    <t>TC-004, TC-005</t>
  </si>
  <si>
    <t>REQ-02.1</t>
  </si>
  <si>
    <t>Email accepts valid format</t>
  </si>
  <si>
    <t>2. Email</t>
  </si>
  <si>
    <t>TC-006</t>
  </si>
  <si>
    <t>EmailTest</t>
  </si>
  <si>
    <t>REQ-02.2</t>
  </si>
  <si>
    <t>Email rejects invalid format</t>
  </si>
  <si>
    <t>TC-007, TC-008, TC-009</t>
  </si>
  <si>
    <t>REQ-03.1</t>
  </si>
  <si>
    <t>Password accepts compliant</t>
  </si>
  <si>
    <t>3. Password</t>
  </si>
  <si>
    <t>TC-010</t>
  </si>
  <si>
    <t>PasswordTest</t>
  </si>
  <si>
    <t>REQ-03.2</t>
  </si>
  <si>
    <t>Password enforces complexity</t>
  </si>
  <si>
    <t>TC-011, TC-012</t>
  </si>
  <si>
    <t>REQ-04.1</t>
  </si>
  <si>
    <t>Simple button performs action</t>
  </si>
  <si>
    <t>4. Buttons</t>
  </si>
  <si>
    <t>TC-013</t>
  </si>
  <si>
    <t>SimpleButtonTest</t>
  </si>
  <si>
    <t>REQ-04.2</t>
  </si>
  <si>
    <t>Looks-like-a-button clickable</t>
  </si>
  <si>
    <t>TC-014</t>
  </si>
  <si>
    <t>LooksLikeAButtonTest</t>
  </si>
  <si>
    <t>REQ-04.3</t>
  </si>
  <si>
    <t>Disabled button not actionable</t>
  </si>
  <si>
    <t>TC-015</t>
  </si>
  <si>
    <t>DisabledButtonTest</t>
  </si>
  <si>
    <t>REQ-05.1</t>
  </si>
  <si>
    <t>Single checkbox toggles</t>
  </si>
  <si>
    <t>5. Checkboxes</t>
  </si>
  <si>
    <t>TC-016</t>
  </si>
  <si>
    <t>SingleCheckboxTest</t>
  </si>
  <si>
    <t>REQ-05.2</t>
  </si>
  <si>
    <t>Multiple checkboxes independent</t>
  </si>
  <si>
    <t>TC-017, TC-018</t>
  </si>
  <si>
    <t>CheckboxesTest</t>
  </si>
  <si>
    <t>REQ-06.1</t>
  </si>
  <si>
    <t>Single-select selection</t>
  </si>
  <si>
    <t>6. Select</t>
  </si>
  <si>
    <t>TC-019</t>
  </si>
  <si>
    <t>SingleSelectTest</t>
  </si>
  <si>
    <t>REQ-06.2</t>
  </si>
  <si>
    <t>Multi-select validation</t>
  </si>
  <si>
    <t>TC-020</t>
  </si>
  <si>
    <t>MultipleSelectTest</t>
  </si>
  <si>
    <t>REQ-06.3</t>
  </si>
  <si>
    <t>All 60 combinations handled</t>
  </si>
  <si>
    <t>TC-021</t>
  </si>
  <si>
    <t>REQ-07.1</t>
  </si>
  <si>
    <t>Link opens new tab</t>
  </si>
  <si>
    <t>7. New tab</t>
  </si>
  <si>
    <t>TC-022</t>
  </si>
  <si>
    <t>NewTabLinkTest</t>
  </si>
  <si>
    <t>REQ-07.2</t>
  </si>
  <si>
    <t>Button opens new tab</t>
  </si>
  <si>
    <t>TC-023</t>
  </si>
  <si>
    <t>NewTabButtonTest</t>
  </si>
  <si>
    <t>REQ-08.1</t>
  </si>
  <si>
    <t>Single textarea input</t>
  </si>
  <si>
    <t>8. Textareas</t>
  </si>
  <si>
    <t>TC-024</t>
  </si>
  <si>
    <t>SingleTextAreaTest</t>
  </si>
  <si>
    <t>REQ-08.2</t>
  </si>
  <si>
    <t>Multiple textareas input</t>
  </si>
  <si>
    <t>TC-025</t>
  </si>
  <si>
    <t>MultipleTextAreaTest</t>
  </si>
  <si>
    <t>REQ-09.1</t>
  </si>
  <si>
    <t>JS alert handled</t>
  </si>
  <si>
    <t>9. Alerts</t>
  </si>
  <si>
    <t>TC-026</t>
  </si>
  <si>
    <t>AlertBoxTest</t>
  </si>
  <si>
    <t>REQ-09.2</t>
  </si>
  <si>
    <t>Confirm accept/dismiss</t>
  </si>
  <si>
    <t>TC-027, TC-028</t>
  </si>
  <si>
    <t>ConfirmationBoxTest</t>
  </si>
  <si>
    <t>REQ-09.3</t>
  </si>
  <si>
    <t>Prompt text entry</t>
  </si>
  <si>
    <t>TC-029</t>
  </si>
  <si>
    <t>PromptBoxTest</t>
  </si>
  <si>
    <t>REQ-10.1</t>
  </si>
  <si>
    <t>Drag &amp; drop boxes</t>
  </si>
  <si>
    <t>10. Drag &amp; Drop</t>
  </si>
  <si>
    <t>TC-030</t>
  </si>
  <si>
    <t>DragAndDropBoxTest</t>
  </si>
  <si>
    <t>REQ-10.2</t>
  </si>
  <si>
    <t>Drag &amp; drop images</t>
  </si>
  <si>
    <t>TC-031</t>
  </si>
  <si>
    <t>DragAndDropImagesTest</t>
  </si>
  <si>
    <t>REQ-11.1</t>
  </si>
  <si>
    <t>Iframe presence/attrs &amp; switching</t>
  </si>
  <si>
    <t>11. Iframe</t>
  </si>
  <si>
    <t>TC-032, TC-033</t>
  </si>
  <si>
    <t>IframeTest</t>
  </si>
  <si>
    <t>REQ-11.2</t>
  </si>
  <si>
    <t>Iframe navbar text &amp; links</t>
  </si>
  <si>
    <t>TC-034, TC-035, TC-036, TC-037, TC-038</t>
  </si>
  <si>
    <t>Fail (by design)</t>
  </si>
  <si>
    <t>BUG-01</t>
  </si>
  <si>
    <t>REQ-11.3</t>
  </si>
  <si>
    <t>Header CTAs scroll to top</t>
  </si>
  <si>
    <t>TC-039</t>
  </si>
  <si>
    <t>REQ-11.4</t>
  </si>
  <si>
    <t>Album cards working View/Edit</t>
  </si>
  <si>
    <t>TC-040, TC-041</t>
  </si>
  <si>
    <t>REQ-11.5</t>
  </si>
  <si>
    <t>Back-to-top works</t>
  </si>
  <si>
    <t>TC-042</t>
  </si>
  <si>
    <t>REQ-11.6</t>
  </si>
  <si>
    <t>Frame &amp; main footers present</t>
  </si>
  <si>
    <t>TC-043, TC-044</t>
  </si>
  <si>
    <t>REQ-12.1</t>
  </si>
  <si>
    <t>Modal pop-up flow</t>
  </si>
  <si>
    <t>12. Pop-up</t>
  </si>
  <si>
    <t>TC-045, TC-046, TC-047</t>
  </si>
  <si>
    <t>ModalPopUpTest</t>
  </si>
  <si>
    <t>REQ-12.2</t>
  </si>
  <si>
    <t>Iframe pop-up copy/paste validation</t>
  </si>
  <si>
    <t>TC-048, TC-049, TC-050, TC-051, TC-052</t>
  </si>
  <si>
    <t>IframePopUpTest</t>
  </si>
  <si>
    <t>REQ-13.1</t>
  </si>
  <si>
    <t>Practice form valid submit</t>
  </si>
  <si>
    <t>13. Practice form</t>
  </si>
  <si>
    <t>TC-053, TC-054</t>
  </si>
  <si>
    <t>PracticeFormTest</t>
  </si>
  <si>
    <t>REQ-13.2</t>
  </si>
  <si>
    <t>Required-field validation</t>
  </si>
  <si>
    <t>TC-055, TC-056, TC-057</t>
  </si>
  <si>
    <t>REQ-13.3</t>
  </si>
  <si>
    <t>Mobile 10-digit validation</t>
  </si>
  <si>
    <t>TC-058, TC-059, TC-060</t>
  </si>
  <si>
    <t>REQ-13.4</t>
  </si>
  <si>
    <t>Hobbies selection</t>
  </si>
  <si>
    <t>TC-061</t>
  </si>
  <si>
    <t>BUG-02</t>
  </si>
  <si>
    <t>REQ-13.5</t>
  </si>
  <si>
    <t>State/City dependent dropdowns</t>
  </si>
  <si>
    <t>TC-062</t>
  </si>
  <si>
    <t>BUG-03</t>
  </si>
  <si>
    <t>REQ-13.6</t>
  </si>
  <si>
    <t>Subjects autocomplete</t>
  </si>
  <si>
    <t>TC-063</t>
  </si>
  <si>
    <t>REQ-13.7</t>
  </si>
  <si>
    <t>Picture upload</t>
  </si>
  <si>
    <t>TC-064</t>
  </si>
  <si>
    <t>REQ-13.8</t>
  </si>
  <si>
    <t>Date of birth picker</t>
  </si>
  <si>
    <t>TC-065</t>
  </si>
  <si>
    <t>REQ-14.1</t>
  </si>
  <si>
    <t>Sidebar navigation</t>
  </si>
  <si>
    <t>Sidebar</t>
  </si>
  <si>
    <t>TC-066, TC-067</t>
  </si>
  <si>
    <t>SidebarTest</t>
  </si>
  <si>
    <t>REQ-15.1</t>
  </si>
  <si>
    <t>MiddleBar content &amp; navigation</t>
  </si>
  <si>
    <t>MiddleBar</t>
  </si>
  <si>
    <t>TC-068, TC-069</t>
  </si>
  <si>
    <t>MiddleBarTest</t>
  </si>
  <si>
    <t>Summary</t>
  </si>
  <si>
    <t>Total requirements</t>
  </si>
  <si>
    <t>Covered (&gt;=1 TC)</t>
  </si>
  <si>
    <t>% Coverage</t>
  </si>
  <si>
    <t>Requirements w/ open defect (BUG-01)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</si>
</sst>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2E5496"/>
        <bgColor rgb="FF666699"/>
      </patternFill>
    </fill>
    <fill>
      <patternFill patternType="solid">
        <fgColor rgb="FFFCE4E4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0" borderId="0" xfId="0" applyFont="1"/>
    <xf numFmtId="0" fontId="2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E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"/>
  <sheetViews>
    <sheetView tabSelected="1"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3.44140625" bestFit="1" customWidth="1"/>
    <col min="2" max="2" width="30.44140625" bestFit="1" customWidth="1"/>
    <col min="3" max="3" width="15.21875" bestFit="1" customWidth="1"/>
    <col min="4" max="4" width="30" customWidth="1"/>
    <col min="5" max="5" width="13.77734375" bestFit="1" customWidth="1"/>
    <col min="6" max="6" width="21.77734375" bestFit="1" customWidth="1"/>
    <col min="7" max="7" width="13.77734375" bestFit="1" customWidth="1"/>
    <col min="8" max="8" width="14.77734375" bestFit="1" customWidth="1"/>
  </cols>
  <sheetData>
    <row r="1" spans="1:8" ht="27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2"/>
    </row>
    <row r="3" spans="1:8" x14ac:dyDescent="0.3">
      <c r="A3" s="2" t="s">
        <v>15</v>
      </c>
      <c r="B3" s="2" t="s">
        <v>16</v>
      </c>
      <c r="C3" s="2" t="s">
        <v>10</v>
      </c>
      <c r="D3" s="2" t="s">
        <v>17</v>
      </c>
      <c r="E3" s="2" t="s">
        <v>12</v>
      </c>
      <c r="F3" s="2" t="s">
        <v>13</v>
      </c>
      <c r="G3" s="2" t="s">
        <v>14</v>
      </c>
      <c r="H3" s="2"/>
    </row>
    <row r="4" spans="1:8" x14ac:dyDescent="0.3">
      <c r="A4" s="2" t="s">
        <v>18</v>
      </c>
      <c r="B4" s="2" t="s">
        <v>19</v>
      </c>
      <c r="C4" s="2" t="s">
        <v>10</v>
      </c>
      <c r="D4" s="2" t="s">
        <v>20</v>
      </c>
      <c r="E4" s="2" t="s">
        <v>12</v>
      </c>
      <c r="F4" s="2" t="s">
        <v>13</v>
      </c>
      <c r="G4" s="2" t="s">
        <v>14</v>
      </c>
      <c r="H4" s="2"/>
    </row>
    <row r="5" spans="1:8" x14ac:dyDescent="0.3">
      <c r="A5" s="2" t="s">
        <v>21</v>
      </c>
      <c r="B5" s="2" t="s">
        <v>22</v>
      </c>
      <c r="C5" s="2" t="s">
        <v>23</v>
      </c>
      <c r="D5" s="2" t="s">
        <v>24</v>
      </c>
      <c r="E5" s="2" t="s">
        <v>12</v>
      </c>
      <c r="F5" s="2" t="s">
        <v>25</v>
      </c>
      <c r="G5" s="2" t="s">
        <v>14</v>
      </c>
      <c r="H5" s="2"/>
    </row>
    <row r="6" spans="1:8" x14ac:dyDescent="0.3">
      <c r="A6" s="2" t="s">
        <v>26</v>
      </c>
      <c r="B6" s="2" t="s">
        <v>27</v>
      </c>
      <c r="C6" s="2" t="s">
        <v>23</v>
      </c>
      <c r="D6" s="2" t="s">
        <v>28</v>
      </c>
      <c r="E6" s="2" t="s">
        <v>12</v>
      </c>
      <c r="F6" s="2" t="s">
        <v>25</v>
      </c>
      <c r="G6" s="2" t="s">
        <v>14</v>
      </c>
      <c r="H6" s="2"/>
    </row>
    <row r="7" spans="1:8" x14ac:dyDescent="0.3">
      <c r="A7" s="2" t="s">
        <v>29</v>
      </c>
      <c r="B7" s="2" t="s">
        <v>30</v>
      </c>
      <c r="C7" s="2" t="s">
        <v>31</v>
      </c>
      <c r="D7" s="2" t="s">
        <v>32</v>
      </c>
      <c r="E7" s="2" t="s">
        <v>12</v>
      </c>
      <c r="F7" s="2" t="s">
        <v>33</v>
      </c>
      <c r="G7" s="2" t="s">
        <v>14</v>
      </c>
      <c r="H7" s="2"/>
    </row>
    <row r="8" spans="1:8" x14ac:dyDescent="0.3">
      <c r="A8" s="2" t="s">
        <v>34</v>
      </c>
      <c r="B8" s="2" t="s">
        <v>35</v>
      </c>
      <c r="C8" s="2" t="s">
        <v>31</v>
      </c>
      <c r="D8" s="2" t="s">
        <v>36</v>
      </c>
      <c r="E8" s="2" t="s">
        <v>12</v>
      </c>
      <c r="F8" s="2" t="s">
        <v>33</v>
      </c>
      <c r="G8" s="2" t="s">
        <v>14</v>
      </c>
      <c r="H8" s="2"/>
    </row>
    <row r="9" spans="1:8" x14ac:dyDescent="0.3">
      <c r="A9" s="2" t="s">
        <v>37</v>
      </c>
      <c r="B9" s="2" t="s">
        <v>38</v>
      </c>
      <c r="C9" s="2" t="s">
        <v>39</v>
      </c>
      <c r="D9" s="2" t="s">
        <v>40</v>
      </c>
      <c r="E9" s="2" t="s">
        <v>12</v>
      </c>
      <c r="F9" s="2" t="s">
        <v>41</v>
      </c>
      <c r="G9" s="2" t="s">
        <v>14</v>
      </c>
      <c r="H9" s="2"/>
    </row>
    <row r="10" spans="1:8" x14ac:dyDescent="0.3">
      <c r="A10" s="2" t="s">
        <v>42</v>
      </c>
      <c r="B10" s="2" t="s">
        <v>43</v>
      </c>
      <c r="C10" s="2" t="s">
        <v>39</v>
      </c>
      <c r="D10" s="2" t="s">
        <v>44</v>
      </c>
      <c r="E10" s="2" t="s">
        <v>12</v>
      </c>
      <c r="F10" s="2" t="s">
        <v>45</v>
      </c>
      <c r="G10" s="2" t="s">
        <v>14</v>
      </c>
      <c r="H10" s="2"/>
    </row>
    <row r="11" spans="1:8" x14ac:dyDescent="0.3">
      <c r="A11" s="2" t="s">
        <v>46</v>
      </c>
      <c r="B11" s="2" t="s">
        <v>47</v>
      </c>
      <c r="C11" s="2" t="s">
        <v>39</v>
      </c>
      <c r="D11" s="2" t="s">
        <v>48</v>
      </c>
      <c r="E11" s="2" t="s">
        <v>12</v>
      </c>
      <c r="F11" s="2" t="s">
        <v>49</v>
      </c>
      <c r="G11" s="2" t="s">
        <v>14</v>
      </c>
      <c r="H11" s="2"/>
    </row>
    <row r="12" spans="1:8" x14ac:dyDescent="0.3">
      <c r="A12" s="2" t="s">
        <v>50</v>
      </c>
      <c r="B12" s="2" t="s">
        <v>51</v>
      </c>
      <c r="C12" s="2" t="s">
        <v>52</v>
      </c>
      <c r="D12" s="2" t="s">
        <v>53</v>
      </c>
      <c r="E12" s="2" t="s">
        <v>12</v>
      </c>
      <c r="F12" s="2" t="s">
        <v>54</v>
      </c>
      <c r="G12" s="2" t="s">
        <v>14</v>
      </c>
      <c r="H12" s="2"/>
    </row>
    <row r="13" spans="1:8" x14ac:dyDescent="0.3">
      <c r="A13" s="2" t="s">
        <v>55</v>
      </c>
      <c r="B13" s="2" t="s">
        <v>56</v>
      </c>
      <c r="C13" s="2" t="s">
        <v>52</v>
      </c>
      <c r="D13" s="2" t="s">
        <v>57</v>
      </c>
      <c r="E13" s="2" t="s">
        <v>12</v>
      </c>
      <c r="F13" s="2" t="s">
        <v>58</v>
      </c>
      <c r="G13" s="2" t="s">
        <v>14</v>
      </c>
      <c r="H13" s="2"/>
    </row>
    <row r="14" spans="1:8" x14ac:dyDescent="0.3">
      <c r="A14" s="2" t="s">
        <v>59</v>
      </c>
      <c r="B14" s="2" t="s">
        <v>60</v>
      </c>
      <c r="C14" s="2" t="s">
        <v>61</v>
      </c>
      <c r="D14" s="2" t="s">
        <v>62</v>
      </c>
      <c r="E14" s="2" t="s">
        <v>12</v>
      </c>
      <c r="F14" s="2" t="s">
        <v>63</v>
      </c>
      <c r="G14" s="2" t="s">
        <v>14</v>
      </c>
      <c r="H14" s="2"/>
    </row>
    <row r="15" spans="1:8" x14ac:dyDescent="0.3">
      <c r="A15" s="2" t="s">
        <v>64</v>
      </c>
      <c r="B15" s="2" t="s">
        <v>65</v>
      </c>
      <c r="C15" s="2" t="s">
        <v>61</v>
      </c>
      <c r="D15" s="2" t="s">
        <v>66</v>
      </c>
      <c r="E15" s="2" t="s">
        <v>12</v>
      </c>
      <c r="F15" s="2" t="s">
        <v>67</v>
      </c>
      <c r="G15" s="2" t="s">
        <v>14</v>
      </c>
      <c r="H15" s="2"/>
    </row>
    <row r="16" spans="1:8" x14ac:dyDescent="0.3">
      <c r="A16" s="2" t="s">
        <v>68</v>
      </c>
      <c r="B16" s="2" t="s">
        <v>69</v>
      </c>
      <c r="C16" s="2" t="s">
        <v>61</v>
      </c>
      <c r="D16" s="2" t="s">
        <v>70</v>
      </c>
      <c r="E16" s="2" t="s">
        <v>12</v>
      </c>
      <c r="F16" s="2" t="s">
        <v>67</v>
      </c>
      <c r="G16" s="2" t="s">
        <v>14</v>
      </c>
      <c r="H16" s="2"/>
    </row>
    <row r="17" spans="1:8" x14ac:dyDescent="0.3">
      <c r="A17" s="2" t="s">
        <v>71</v>
      </c>
      <c r="B17" s="2" t="s">
        <v>72</v>
      </c>
      <c r="C17" s="2" t="s">
        <v>73</v>
      </c>
      <c r="D17" s="2" t="s">
        <v>74</v>
      </c>
      <c r="E17" s="2" t="s">
        <v>12</v>
      </c>
      <c r="F17" s="2" t="s">
        <v>75</v>
      </c>
      <c r="G17" s="2" t="s">
        <v>14</v>
      </c>
      <c r="H17" s="2"/>
    </row>
    <row r="18" spans="1:8" x14ac:dyDescent="0.3">
      <c r="A18" s="2" t="s">
        <v>76</v>
      </c>
      <c r="B18" s="2" t="s">
        <v>77</v>
      </c>
      <c r="C18" s="2" t="s">
        <v>73</v>
      </c>
      <c r="D18" s="2" t="s">
        <v>78</v>
      </c>
      <c r="E18" s="2" t="s">
        <v>12</v>
      </c>
      <c r="F18" s="2" t="s">
        <v>79</v>
      </c>
      <c r="G18" s="2" t="s">
        <v>14</v>
      </c>
      <c r="H18" s="2"/>
    </row>
    <row r="19" spans="1:8" x14ac:dyDescent="0.3">
      <c r="A19" s="2" t="s">
        <v>80</v>
      </c>
      <c r="B19" s="2" t="s">
        <v>81</v>
      </c>
      <c r="C19" s="2" t="s">
        <v>82</v>
      </c>
      <c r="D19" s="2" t="s">
        <v>83</v>
      </c>
      <c r="E19" s="2" t="s">
        <v>12</v>
      </c>
      <c r="F19" s="2" t="s">
        <v>84</v>
      </c>
      <c r="G19" s="2" t="s">
        <v>14</v>
      </c>
      <c r="H19" s="2"/>
    </row>
    <row r="20" spans="1:8" x14ac:dyDescent="0.3">
      <c r="A20" s="2" t="s">
        <v>85</v>
      </c>
      <c r="B20" s="2" t="s">
        <v>86</v>
      </c>
      <c r="C20" s="2" t="s">
        <v>82</v>
      </c>
      <c r="D20" s="2" t="s">
        <v>87</v>
      </c>
      <c r="E20" s="2" t="s">
        <v>12</v>
      </c>
      <c r="F20" s="2" t="s">
        <v>88</v>
      </c>
      <c r="G20" s="2" t="s">
        <v>14</v>
      </c>
      <c r="H20" s="2"/>
    </row>
    <row r="21" spans="1:8" x14ac:dyDescent="0.3">
      <c r="A21" s="2" t="s">
        <v>89</v>
      </c>
      <c r="B21" s="2" t="s">
        <v>90</v>
      </c>
      <c r="C21" s="2" t="s">
        <v>91</v>
      </c>
      <c r="D21" s="2" t="s">
        <v>92</v>
      </c>
      <c r="E21" s="2" t="s">
        <v>12</v>
      </c>
      <c r="F21" s="2" t="s">
        <v>93</v>
      </c>
      <c r="G21" s="2" t="s">
        <v>14</v>
      </c>
      <c r="H21" s="2"/>
    </row>
    <row r="22" spans="1:8" x14ac:dyDescent="0.3">
      <c r="A22" s="2" t="s">
        <v>94</v>
      </c>
      <c r="B22" s="2" t="s">
        <v>95</v>
      </c>
      <c r="C22" s="2" t="s">
        <v>91</v>
      </c>
      <c r="D22" s="2" t="s">
        <v>96</v>
      </c>
      <c r="E22" s="2" t="s">
        <v>12</v>
      </c>
      <c r="F22" s="2" t="s">
        <v>97</v>
      </c>
      <c r="G22" s="2" t="s">
        <v>14</v>
      </c>
      <c r="H22" s="2"/>
    </row>
    <row r="23" spans="1:8" x14ac:dyDescent="0.3">
      <c r="A23" s="2" t="s">
        <v>98</v>
      </c>
      <c r="B23" s="2" t="s">
        <v>99</v>
      </c>
      <c r="C23" s="2" t="s">
        <v>91</v>
      </c>
      <c r="D23" s="2" t="s">
        <v>100</v>
      </c>
      <c r="E23" s="2" t="s">
        <v>12</v>
      </c>
      <c r="F23" s="2" t="s">
        <v>101</v>
      </c>
      <c r="G23" s="2" t="s">
        <v>14</v>
      </c>
      <c r="H23" s="2"/>
    </row>
    <row r="24" spans="1:8" x14ac:dyDescent="0.3">
      <c r="A24" s="2" t="s">
        <v>102</v>
      </c>
      <c r="B24" s="2" t="s">
        <v>103</v>
      </c>
      <c r="C24" s="2" t="s">
        <v>104</v>
      </c>
      <c r="D24" s="2" t="s">
        <v>105</v>
      </c>
      <c r="E24" s="2" t="s">
        <v>12</v>
      </c>
      <c r="F24" s="2" t="s">
        <v>106</v>
      </c>
      <c r="G24" s="2" t="s">
        <v>14</v>
      </c>
      <c r="H24" s="2"/>
    </row>
    <row r="25" spans="1:8" x14ac:dyDescent="0.3">
      <c r="A25" s="2" t="s">
        <v>107</v>
      </c>
      <c r="B25" s="2" t="s">
        <v>108</v>
      </c>
      <c r="C25" s="2" t="s">
        <v>104</v>
      </c>
      <c r="D25" s="2" t="s">
        <v>109</v>
      </c>
      <c r="E25" s="2" t="s">
        <v>12</v>
      </c>
      <c r="F25" s="2" t="s">
        <v>110</v>
      </c>
      <c r="G25" s="2" t="s">
        <v>14</v>
      </c>
      <c r="H25" s="2"/>
    </row>
    <row r="26" spans="1:8" x14ac:dyDescent="0.3">
      <c r="A26" s="2" t="s">
        <v>111</v>
      </c>
      <c r="B26" s="2" t="s">
        <v>112</v>
      </c>
      <c r="C26" s="2" t="s">
        <v>113</v>
      </c>
      <c r="D26" s="2" t="s">
        <v>114</v>
      </c>
      <c r="E26" s="2" t="s">
        <v>12</v>
      </c>
      <c r="F26" s="2" t="s">
        <v>115</v>
      </c>
      <c r="G26" s="2" t="s">
        <v>14</v>
      </c>
      <c r="H26" s="2"/>
    </row>
    <row r="27" spans="1:8" ht="26.4" x14ac:dyDescent="0.3">
      <c r="A27" s="2" t="s">
        <v>116</v>
      </c>
      <c r="B27" s="2" t="s">
        <v>117</v>
      </c>
      <c r="C27" s="2" t="s">
        <v>113</v>
      </c>
      <c r="D27" s="2" t="s">
        <v>118</v>
      </c>
      <c r="E27" s="2" t="s">
        <v>12</v>
      </c>
      <c r="F27" s="2" t="s">
        <v>115</v>
      </c>
      <c r="G27" s="3" t="s">
        <v>119</v>
      </c>
      <c r="H27" s="2" t="s">
        <v>120</v>
      </c>
    </row>
    <row r="28" spans="1:8" x14ac:dyDescent="0.3">
      <c r="A28" s="2" t="s">
        <v>121</v>
      </c>
      <c r="B28" s="2" t="s">
        <v>122</v>
      </c>
      <c r="C28" s="2" t="s">
        <v>113</v>
      </c>
      <c r="D28" s="2" t="s">
        <v>123</v>
      </c>
      <c r="E28" s="2" t="s">
        <v>12</v>
      </c>
      <c r="F28" s="2" t="s">
        <v>115</v>
      </c>
      <c r="G28" s="2" t="s">
        <v>14</v>
      </c>
      <c r="H28" s="2"/>
    </row>
    <row r="29" spans="1:8" x14ac:dyDescent="0.3">
      <c r="A29" s="2" t="s">
        <v>124</v>
      </c>
      <c r="B29" s="2" t="s">
        <v>125</v>
      </c>
      <c r="C29" s="2" t="s">
        <v>113</v>
      </c>
      <c r="D29" s="2" t="s">
        <v>126</v>
      </c>
      <c r="E29" s="2" t="s">
        <v>12</v>
      </c>
      <c r="F29" s="2" t="s">
        <v>115</v>
      </c>
      <c r="G29" s="3" t="s">
        <v>119</v>
      </c>
      <c r="H29" s="2" t="s">
        <v>120</v>
      </c>
    </row>
    <row r="30" spans="1:8" x14ac:dyDescent="0.3">
      <c r="A30" s="2" t="s">
        <v>127</v>
      </c>
      <c r="B30" s="2" t="s">
        <v>128</v>
      </c>
      <c r="C30" s="2" t="s">
        <v>113</v>
      </c>
      <c r="D30" s="2" t="s">
        <v>129</v>
      </c>
      <c r="E30" s="2" t="s">
        <v>12</v>
      </c>
      <c r="F30" s="2" t="s">
        <v>115</v>
      </c>
      <c r="G30" s="2" t="s">
        <v>14</v>
      </c>
      <c r="H30" s="2"/>
    </row>
    <row r="31" spans="1:8" x14ac:dyDescent="0.3">
      <c r="A31" s="2" t="s">
        <v>130</v>
      </c>
      <c r="B31" s="2" t="s">
        <v>131</v>
      </c>
      <c r="C31" s="2" t="s">
        <v>113</v>
      </c>
      <c r="D31" s="2" t="s">
        <v>132</v>
      </c>
      <c r="E31" s="2" t="s">
        <v>12</v>
      </c>
      <c r="F31" s="2" t="s">
        <v>115</v>
      </c>
      <c r="G31" s="2" t="s">
        <v>14</v>
      </c>
      <c r="H31" s="2"/>
    </row>
    <row r="32" spans="1:8" x14ac:dyDescent="0.3">
      <c r="A32" s="2" t="s">
        <v>133</v>
      </c>
      <c r="B32" s="2" t="s">
        <v>134</v>
      </c>
      <c r="C32" s="2" t="s">
        <v>135</v>
      </c>
      <c r="D32" s="2" t="s">
        <v>136</v>
      </c>
      <c r="E32" s="2" t="s">
        <v>12</v>
      </c>
      <c r="F32" s="2" t="s">
        <v>137</v>
      </c>
      <c r="G32" s="2" t="s">
        <v>14</v>
      </c>
      <c r="H32" s="2"/>
    </row>
    <row r="33" spans="1:8" ht="26.4" x14ac:dyDescent="0.3">
      <c r="A33" s="2" t="s">
        <v>138</v>
      </c>
      <c r="B33" s="2" t="s">
        <v>139</v>
      </c>
      <c r="C33" s="2" t="s">
        <v>135</v>
      </c>
      <c r="D33" s="2" t="s">
        <v>140</v>
      </c>
      <c r="E33" s="2" t="s">
        <v>12</v>
      </c>
      <c r="F33" s="2" t="s">
        <v>141</v>
      </c>
      <c r="G33" s="2" t="s">
        <v>14</v>
      </c>
      <c r="H33" s="2"/>
    </row>
    <row r="34" spans="1:8" x14ac:dyDescent="0.3">
      <c r="A34" s="2" t="s">
        <v>142</v>
      </c>
      <c r="B34" s="2" t="s">
        <v>143</v>
      </c>
      <c r="C34" s="2" t="s">
        <v>144</v>
      </c>
      <c r="D34" s="2" t="s">
        <v>145</v>
      </c>
      <c r="E34" s="2" t="s">
        <v>12</v>
      </c>
      <c r="F34" s="2" t="s">
        <v>146</v>
      </c>
      <c r="G34" s="2" t="s">
        <v>14</v>
      </c>
      <c r="H34" s="2"/>
    </row>
    <row r="35" spans="1:8" x14ac:dyDescent="0.3">
      <c r="A35" s="2" t="s">
        <v>147</v>
      </c>
      <c r="B35" s="2" t="s">
        <v>148</v>
      </c>
      <c r="C35" s="2" t="s">
        <v>144</v>
      </c>
      <c r="D35" s="2" t="s">
        <v>149</v>
      </c>
      <c r="E35" s="2" t="s">
        <v>12</v>
      </c>
      <c r="F35" s="2" t="s">
        <v>146</v>
      </c>
      <c r="G35" s="2" t="s">
        <v>14</v>
      </c>
      <c r="H35" s="2"/>
    </row>
    <row r="36" spans="1:8" x14ac:dyDescent="0.3">
      <c r="A36" s="2" t="s">
        <v>150</v>
      </c>
      <c r="B36" s="2" t="s">
        <v>151</v>
      </c>
      <c r="C36" s="2" t="s">
        <v>144</v>
      </c>
      <c r="D36" s="2" t="s">
        <v>152</v>
      </c>
      <c r="E36" s="2" t="s">
        <v>12</v>
      </c>
      <c r="F36" s="2" t="s">
        <v>146</v>
      </c>
      <c r="G36" s="2" t="s">
        <v>14</v>
      </c>
      <c r="H36" s="2"/>
    </row>
    <row r="37" spans="1:8" x14ac:dyDescent="0.3">
      <c r="A37" s="2" t="s">
        <v>153</v>
      </c>
      <c r="B37" s="2" t="s">
        <v>154</v>
      </c>
      <c r="C37" s="2" t="s">
        <v>144</v>
      </c>
      <c r="D37" s="2" t="s">
        <v>155</v>
      </c>
      <c r="E37" s="2" t="s">
        <v>12</v>
      </c>
      <c r="F37" s="2" t="s">
        <v>146</v>
      </c>
      <c r="G37" s="2" t="s">
        <v>14</v>
      </c>
      <c r="H37" s="2" t="s">
        <v>156</v>
      </c>
    </row>
    <row r="38" spans="1:8" x14ac:dyDescent="0.3">
      <c r="A38" s="2" t="s">
        <v>157</v>
      </c>
      <c r="B38" s="2" t="s">
        <v>158</v>
      </c>
      <c r="C38" s="2" t="s">
        <v>144</v>
      </c>
      <c r="D38" s="2" t="s">
        <v>159</v>
      </c>
      <c r="E38" s="2" t="s">
        <v>12</v>
      </c>
      <c r="F38" s="2" t="s">
        <v>146</v>
      </c>
      <c r="G38" s="2" t="s">
        <v>14</v>
      </c>
      <c r="H38" s="2" t="s">
        <v>160</v>
      </c>
    </row>
    <row r="39" spans="1:8" x14ac:dyDescent="0.3">
      <c r="A39" s="2" t="s">
        <v>161</v>
      </c>
      <c r="B39" s="2" t="s">
        <v>162</v>
      </c>
      <c r="C39" s="2" t="s">
        <v>144</v>
      </c>
      <c r="D39" s="2" t="s">
        <v>163</v>
      </c>
      <c r="E39" s="2" t="s">
        <v>12</v>
      </c>
      <c r="F39" s="2" t="s">
        <v>146</v>
      </c>
      <c r="G39" s="2" t="s">
        <v>14</v>
      </c>
      <c r="H39" s="2"/>
    </row>
    <row r="40" spans="1:8" x14ac:dyDescent="0.3">
      <c r="A40" s="2" t="s">
        <v>164</v>
      </c>
      <c r="B40" s="2" t="s">
        <v>165</v>
      </c>
      <c r="C40" s="2" t="s">
        <v>144</v>
      </c>
      <c r="D40" s="2" t="s">
        <v>166</v>
      </c>
      <c r="E40" s="2" t="s">
        <v>12</v>
      </c>
      <c r="F40" s="2" t="s">
        <v>146</v>
      </c>
      <c r="G40" s="2" t="s">
        <v>14</v>
      </c>
      <c r="H40" s="2"/>
    </row>
    <row r="41" spans="1:8" x14ac:dyDescent="0.3">
      <c r="A41" s="2" t="s">
        <v>167</v>
      </c>
      <c r="B41" s="2" t="s">
        <v>168</v>
      </c>
      <c r="C41" s="2" t="s">
        <v>144</v>
      </c>
      <c r="D41" s="2" t="s">
        <v>169</v>
      </c>
      <c r="E41" s="2" t="s">
        <v>12</v>
      </c>
      <c r="F41" s="2" t="s">
        <v>146</v>
      </c>
      <c r="G41" s="2" t="s">
        <v>14</v>
      </c>
      <c r="H41" s="2"/>
    </row>
    <row r="42" spans="1:8" x14ac:dyDescent="0.3">
      <c r="A42" s="2" t="s">
        <v>170</v>
      </c>
      <c r="B42" s="2" t="s">
        <v>171</v>
      </c>
      <c r="C42" s="2" t="s">
        <v>172</v>
      </c>
      <c r="D42" s="2" t="s">
        <v>173</v>
      </c>
      <c r="E42" s="2" t="s">
        <v>12</v>
      </c>
      <c r="F42" s="2" t="s">
        <v>174</v>
      </c>
      <c r="G42" s="2" t="s">
        <v>14</v>
      </c>
      <c r="H42" s="2"/>
    </row>
    <row r="43" spans="1:8" x14ac:dyDescent="0.3">
      <c r="A43" s="2" t="s">
        <v>175</v>
      </c>
      <c r="B43" s="2" t="s">
        <v>176</v>
      </c>
      <c r="C43" s="2" t="s">
        <v>177</v>
      </c>
      <c r="D43" s="2" t="s">
        <v>178</v>
      </c>
      <c r="E43" s="2" t="s">
        <v>12</v>
      </c>
      <c r="F43" s="2" t="s">
        <v>179</v>
      </c>
      <c r="G43" s="2" t="s">
        <v>14</v>
      </c>
      <c r="H43" s="2"/>
    </row>
    <row r="45" spans="1:8" x14ac:dyDescent="0.3">
      <c r="A45" s="4" t="s">
        <v>180</v>
      </c>
    </row>
    <row r="46" spans="1:8" x14ac:dyDescent="0.3">
      <c r="A46" s="5" t="s">
        <v>181</v>
      </c>
      <c r="B46" s="5">
        <f>COUNTA(A2:A43)</f>
        <v>42</v>
      </c>
    </row>
    <row r="47" spans="1:8" x14ac:dyDescent="0.3">
      <c r="A47" s="5" t="s">
        <v>182</v>
      </c>
      <c r="B47" s="5">
        <f>COUNTIF(D2:D43,"?*")</f>
        <v>42</v>
      </c>
    </row>
    <row r="48" spans="1:8" x14ac:dyDescent="0.3">
      <c r="A48" s="5" t="s">
        <v>183</v>
      </c>
      <c r="B48" s="6">
        <f>B47/B46</f>
        <v>1</v>
      </c>
    </row>
    <row r="49" spans="1:2" x14ac:dyDescent="0.3">
      <c r="A49" s="5" t="s">
        <v>184</v>
      </c>
      <c r="B49" s="5">
        <f>COUNTIF(H2:H43,"BUG-01")</f>
        <v>2</v>
      </c>
    </row>
  </sheetData>
  <autoFilter ref="A1:H43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RTM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DVDSTORE</cp:lastModifiedBy>
  <cp:revision>0</cp:revision>
  <dcterms:created xsi:type="dcterms:W3CDTF">2026-06-05T14:05:31Z</dcterms:created>
  <dcterms:modified xsi:type="dcterms:W3CDTF">2026-06-05T14:24:55Z</dcterms:modified>
  <dc:language>en-US</dc:language>
</cp:coreProperties>
</file>